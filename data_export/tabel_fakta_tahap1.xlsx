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 Fakta" sheetId="1" state="visible" r:id="rId3"/>
    <sheet name="Segmen (numerik)" sheetId="2" state="visible" r:id="rId4"/>
    <sheet name="Pemeriksaan &amp; Catatan" sheetId="3" state="visible" r:id="rId5"/>
  </sheets>
  <definedNames>
    <definedName function="false" hidden="true" localSheetId="0" name="_xlnm._FilterDatabase" vbProcedure="false">'Tabel Fakta'!$A$1:$H$57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<sst xmlns="http://schemas.openxmlformats.org/spreadsheetml/2006/main" count="498" uniqueCount="307">
  <si>
    <t xml:space="preserve">ID</t>
  </si>
  <si>
    <t xml:space="preserve">Bagian</t>
  </si>
  <si>
    <t xml:space="preserve">Scope</t>
  </si>
  <si>
    <t xml:space="preserve">Fakta</t>
  </si>
  <si>
    <t xml:space="preserve">Angka (dengan satuan dan n)</t>
  </si>
  <si>
    <t xml:space="preserve">Sumber (file.kolom + filter)</t>
  </si>
  <si>
    <t xml:space="preserve">Cara hitung</t>
  </si>
  <si>
    <t xml:space="preserve">Sampel kecil (n&lt;10)</t>
  </si>
  <si>
    <t xml:space="preserve">F1</t>
  </si>
  <si>
    <t xml:space="preserve">(a) Performa model vs baseline</t>
  </si>
  <si>
    <t xml:space="preserve">pooled_5seed</t>
  </si>
  <si>
    <t xml:space="preserve">RF top1</t>
  </si>
  <si>
    <t xml:space="preserve">0,857627 (n=590; 506 benar)</t>
  </si>
  <si>
    <t xml:space="preserve">metrics.csv RF top1_mean; predictions.top1</t>
  </si>
  <si>
    <t xml:space="preserve">506/590</t>
  </si>
  <si>
    <t xml:space="preserve">F2</t>
  </si>
  <si>
    <t xml:space="preserve">RF regret dan MAE</t>
  </si>
  <si>
    <t xml:space="preserve">regret 0,012352 (n=590); MAE 0,048855 (5 seed x 118)</t>
  </si>
  <si>
    <t xml:space="preserve">metrics.csv RF; predictions.regret; metrics_by_seed.mae_ahp</t>
  </si>
  <si>
    <t xml:space="preserve">rata-rata regret; rata-rata 5 nilai mae_ahp</t>
  </si>
  <si>
    <t xml:space="preserve">F3</t>
  </si>
  <si>
    <t xml:space="preserve">Baseline</t>
  </si>
  <si>
    <t xml:space="preserve">always_ryu: top1 0,567797 (67/118), regret 0,065457. always_floodlight: 0,211864 (25/118), regret 0,107015. always_onos: 0,220339 (26/118), regret 0,168282. best_mean_ahp dan most_rank1 identik dengan always_ryu (n=118, std=0)</t>
  </si>
  <si>
    <t xml:space="preserve">metrics.csv baris baseline; model_input.csv</t>
  </si>
  <si>
    <t xml:space="preserve">Baseline tanpa model, dihitung pada seluruh 118 skenario. top1 = porsi skenario di mana controller itu terbaik aktual; regret = rata-rata (AHP terbaik - AHP controller itu)</t>
  </si>
  <si>
    <t xml:space="preserve">F4</t>
  </si>
  <si>
    <t xml:space="preserve">Selisih RF - always_ryu</t>
  </si>
  <si>
    <t xml:space="preserve">top1 +0,289830 (0,857627 - 0,567797); regret -0,053105 (0,065457 - 0,012352); regret RF = 0,1887 x regret baseline</t>
  </si>
  <si>
    <t xml:space="preserve">F1-F3</t>
  </si>
  <si>
    <t xml:space="preserve">Pengurangan dan rasio langsung</t>
  </si>
  <si>
    <t xml:space="preserve">F5</t>
  </si>
  <si>
    <t xml:space="preserve">Rentang top1 antar seed (n=118 per seed)</t>
  </si>
  <si>
    <t xml:space="preserve">min 0,830508 (seed 123; 98/118); max 0,881356 (seed 42 dan 2024; 104/118); seed 7: 0,855932 (101/118); seed 999: 0,838983 (99/118); std populasi 0,021033; std sampel 0,023516</t>
  </si>
  <si>
    <t xml:space="preserve">metrics_by_seed.csv top1_acc; predictions.csv</t>
  </si>
  <si>
    <t xml:space="preserve">Std dari 5 nilai per seed</t>
  </si>
  <si>
    <t xml:space="preserve">F6</t>
  </si>
  <si>
    <t xml:space="preserve">Rentang regret dan MAE antar seed (n=118 per seed)</t>
  </si>
  <si>
    <t xml:space="preserve">regret min 0,009781 (seed 42), max 0,014030 (seed 999); std populasi 0,001670, std sampel 0,001867; MAE min 0,047753 (seed 123), max 0,050811 (seed 7)</t>
  </si>
  <si>
    <t xml:space="preserve">metrics_by_seed.csv mean_regret, mae_ahp</t>
  </si>
  <si>
    <t xml:space="preserve">Min, max, dan std dari 5 nilai</t>
  </si>
  <si>
    <t xml:space="preserve">F6b</t>
  </si>
  <si>
    <t xml:space="preserve">Scope seed42</t>
  </si>
  <si>
    <t xml:space="preserve">top1 0,881356, regret 0,009781, MAE 0,047776 (n=118)</t>
  </si>
  <si>
    <t xml:space="preserve">metrics_by_seed.csv baris seed=42</t>
  </si>
  <si>
    <t xml:space="preserve">Langsung dari file</t>
  </si>
  <si>
    <t xml:space="preserve">F7</t>
  </si>
  <si>
    <t xml:space="preserve">(b) Faktor penentu (feature importance)</t>
  </si>
  <si>
    <t xml:space="preserve">Kelompok topologi (5 fitur dummy)</t>
  </si>
  <si>
    <t xml:space="preserve">0,4605. Rincian: ring 0,2650, star 0,0830, mesh 0,0714, linear 0,0334, tree 0,0078</t>
  </si>
  <si>
    <t xml:space="preserve">feature_importance.csv</t>
  </si>
  <si>
    <t xml:space="preserve">Jumlah importance per feature_group</t>
  </si>
  <si>
    <t xml:space="preserve">F8</t>
  </si>
  <si>
    <t xml:space="preserve">Kelompok controller (3 dummy)</t>
  </si>
  <si>
    <t xml:space="preserve">0,2031. Rincian: onos 0,1101, floodlight 0,0726, ryu 0,0204</t>
  </si>
  <si>
    <t xml:space="preserve">F9</t>
  </si>
  <si>
    <t xml:space="preserve">Kelompok nodes</t>
  </si>
  <si>
    <t xml:space="preserve">0,1687</t>
  </si>
  <si>
    <t xml:space="preserve">F10</t>
  </si>
  <si>
    <t xml:space="preserve">Kelompok bandwidth_mhz</t>
  </si>
  <si>
    <t xml:space="preserve">0,1129</t>
  </si>
  <si>
    <t xml:space="preserve">F11</t>
  </si>
  <si>
    <t xml:space="preserve">Kelompok iflipper_applied</t>
  </si>
  <si>
    <t xml:space="preserve">0,0547</t>
  </si>
  <si>
    <t xml:space="preserve">F12</t>
  </si>
  <si>
    <t xml:space="preserve">Fitur tunggal tertinggi dan terendah</t>
  </si>
  <si>
    <t xml:space="preserve">tertinggi topo_ring 0,2650; terendah topo_tree 0,0078</t>
  </si>
  <si>
    <t xml:space="preserve">Maks dan min importance. Total semua kelompok = 1,0000</t>
  </si>
  <si>
    <t xml:space="preserve">F13</t>
  </si>
  <si>
    <t xml:space="preserve">(c) Controller dominan per topologi</t>
  </si>
  <si>
    <t xml:space="preserve">linear (n=31)</t>
  </si>
  <si>
    <t xml:space="preserve">Dominan ryu 0,8421 (sd 0,0895); kedua floodlight 0,8171; ketiga onos 0,7018; margin 0,0249; win_rate ryu 0,5161 (16/31); floodlight 15/31, onos 0/31</t>
  </si>
  <si>
    <t xml:space="preserve">graph_edges.csv; graph_topology_summary.csv</t>
  </si>
  <si>
    <t xml:space="preserve">avg = rata-rata ahp_score per topologi x controller; margin = avg dominan - avg kedua; win_rate = wins/n</t>
  </si>
  <si>
    <t xml:space="preserve">F14</t>
  </si>
  <si>
    <t xml:space="preserve">mesh (n=5)</t>
  </si>
  <si>
    <t xml:space="preserve">Dominan onos 0,9142 (sd 0,0107); kedua ryu 0,7224; ketiga floodlight 0,6650; margin 0,1918; win_rate onos 0,8000 (4/5); ryu 1/5, floodlight 0/5</t>
  </si>
  <si>
    <t xml:space="preserve">Ya</t>
  </si>
  <si>
    <t xml:space="preserve">F15</t>
  </si>
  <si>
    <t xml:space="preserve">ring (n=28)</t>
  </si>
  <si>
    <t xml:space="preserve">Dominan onos 0,8656 (sd 0,0810); kedua ryu 0,7210; ketiga floodlight 0,7053; margin 0,1446; win_rate onos 0,7857 (22/28); ryu 5/28, floodlight 1/28</t>
  </si>
  <si>
    <t xml:space="preserve">F16</t>
  </si>
  <si>
    <t xml:space="preserve">star (n=47)</t>
  </si>
  <si>
    <t xml:space="preserve">Dominan ryu 0,9339 (sd 0,0566); kedua floodlight 0,8516; ketiga onos 0,6726; margin 0,0823; win_rate ryu 0,9149 (43/47); floodlight 4/47, onos 0/47</t>
  </si>
  <si>
    <t xml:space="preserve">F17</t>
  </si>
  <si>
    <t xml:space="preserve">tree (n=7)</t>
  </si>
  <si>
    <t xml:space="preserve">Dominan floodlight 0,8625 (sd 0,0240); kedua ryu 0,7962; ketiga onos 0,7230; margin 0,0662; win_rate floodlight 0,7143 (5/7); ryu 2/7, onos 0/7</t>
  </si>
  <si>
    <t xml:space="preserve">Catatan</t>
  </si>
  <si>
    <t xml:space="preserve">Jumlah topologi dominan: ryu 2 (linear, star), onos 2 (mesh, ring), floodlight 1 (tree). Sumber: graph_nodes.csv.</t>
  </si>
  <si>
    <t xml:space="preserve">F18</t>
  </si>
  <si>
    <t xml:space="preserve">(d) Segmen</t>
  </si>
  <si>
    <t xml:space="preserve">pooled_5seed dan seed42 (dipisah per kolom di Angka)</t>
  </si>
  <si>
    <t xml:space="preserve">topologi: star</t>
  </si>
  <si>
    <t xml:space="preserve">n=47; pooled_5seed top1 0,9404, regret 0,0087; seed42 top1 0,9787, regret 0,0056</t>
  </si>
  <si>
    <t xml:space="preserve">segments.csv</t>
  </si>
  <si>
    <t xml:space="preserve">F19</t>
  </si>
  <si>
    <t xml:space="preserve">topologi: linear</t>
  </si>
  <si>
    <t xml:space="preserve">n=31; pooled_5seed top1 0,8581, regret 0,0068; seed42 top1 0,8710, regret 0,0020</t>
  </si>
  <si>
    <t xml:space="preserve">F20</t>
  </si>
  <si>
    <t xml:space="preserve">topologi: mesh</t>
  </si>
  <si>
    <t xml:space="preserve">n=5; pooled_5seed top1 0,8000, regret 0,0047; seed42 top1 0,8000, regret 0,0047</t>
  </si>
  <si>
    <t xml:space="preserve">F21</t>
  </si>
  <si>
    <t xml:space="preserve">topologi: ring</t>
  </si>
  <si>
    <t xml:space="preserve">n=28; pooled_5seed top1 0,7786, regret 0,0264; seed42 top1 0,7857, regret 0,0280</t>
  </si>
  <si>
    <t xml:space="preserve">F22</t>
  </si>
  <si>
    <t xml:space="preserve">topologi: tree</t>
  </si>
  <si>
    <t xml:space="preserve">n=7; pooled_5seed top1 0,6571, regret 0,0107; seed42 top1 0,7143, regret 0,0034</t>
  </si>
  <si>
    <t xml:space="preserve">F23</t>
  </si>
  <si>
    <t xml:space="preserve">nodes: besar (13+)</t>
  </si>
  <si>
    <t xml:space="preserve">n=26; pooled_5seed top1 0,9615, regret 0,0005; seed42 top1 0,9615, regret 0,0005</t>
  </si>
  <si>
    <t xml:space="preserve">F24</t>
  </si>
  <si>
    <t xml:space="preserve">nodes: sedang (9-12)</t>
  </si>
  <si>
    <t xml:space="preserve">n=40; pooled_5seed top1 0,9000, regret 0,0082; seed42 top1 0,9250, regret 0,0091</t>
  </si>
  <si>
    <t xml:space="preserve">F25</t>
  </si>
  <si>
    <t xml:space="preserve">nodes: kecil (4-8)</t>
  </si>
  <si>
    <t xml:space="preserve">n=52; pooled_5seed top1 0,7731, regret 0,0215; seed42 top1 0,8077, regret 0,0149</t>
  </si>
  <si>
    <t xml:space="preserve">F26</t>
  </si>
  <si>
    <t xml:space="preserve">bandwidth: sedang</t>
  </si>
  <si>
    <t xml:space="preserve">n=60; pooled_5seed top1 0,8867, regret 0,0089; seed42 top1 0,9000, regret 0,0067</t>
  </si>
  <si>
    <t xml:space="preserve">F27</t>
  </si>
  <si>
    <t xml:space="preserve">bandwidth: tinggi</t>
  </si>
  <si>
    <t xml:space="preserve">n=32; pooled_5seed top1 0,8500, regret 0,0192; seed42 top1 0,9062, regret 0,0121</t>
  </si>
  <si>
    <t xml:space="preserve">F28</t>
  </si>
  <si>
    <t xml:space="preserve">bandwidth: rendah</t>
  </si>
  <si>
    <t xml:space="preserve">n=26; pooled_5seed top1 0,8000, regret 0,0119; seed42 top1 0,8077, regret 0,0140</t>
  </si>
  <si>
    <t xml:space="preserve">F29</t>
  </si>
  <si>
    <t xml:space="preserve">iflipper: tidak (0)</t>
  </si>
  <si>
    <t xml:space="preserve">n=102; pooled_5seed top1 0,8922, regret 0,0102; seed42 top1 0,9020, regret 0,0089</t>
  </si>
  <si>
    <t xml:space="preserve">F30</t>
  </si>
  <si>
    <t xml:space="preserve">iflipper: selalu (1)</t>
  </si>
  <si>
    <t xml:space="preserve">n=16; pooled_5seed top1 0,6375, regret 0,0262; seed42 top1 0,7500, regret 0,0154</t>
  </si>
  <si>
    <t xml:space="preserve">F31</t>
  </si>
  <si>
    <t xml:space="preserve">Ambang "lemah"</t>
  </si>
  <si>
    <t xml:space="preserve">tidak dapat disimpulkan: ambang tidak didefinisikan di prompt maupun file</t>
  </si>
  <si>
    <t xml:space="preserve">-</t>
  </si>
  <si>
    <t xml:space="preserve">Tidak ditetapkan</t>
  </si>
  <si>
    <t xml:space="preserve">F31a</t>
  </si>
  <si>
    <t xml:space="preserve">top1 pooled terendah per dimensi</t>
  </si>
  <si>
    <t xml:space="preserve">topologi tree 0,6571 (n=7, sampel kecil); nodes kecil 0,7731 (n=52); bandwidth rendah 0,8000 (n=26); iflipper=1 0,6375 (n=16). Di topologi dengan n&gt;=10, terendah ring 0,7786 (n=28)</t>
  </si>
  <si>
    <t xml:space="preserve">segments.csv scope=pooled_5seed</t>
  </si>
  <si>
    <t xml:space="preserve">Nilai minimum per dimensi</t>
  </si>
  <si>
    <t xml:space="preserve">F31b</t>
  </si>
  <si>
    <t xml:space="preserve">Kolom ml_weak</t>
  </si>
  <si>
    <t xml:space="preserve">ml_weak = 1 untuk mesh, ring, tree; 0 untuk linear dan star. Kriteria tidak tertulis di file (tidak dapat disimpulkan)</t>
  </si>
  <si>
    <t xml:space="preserve">graph_topology_summary.csv ml_weak</t>
  </si>
  <si>
    <t xml:space="preserve">F32</t>
  </si>
  <si>
    <t xml:space="preserve">(e) Pola kesalahan</t>
  </si>
  <si>
    <t xml:space="preserve">Prediksi benar dan salah</t>
  </si>
  <si>
    <t xml:space="preserve">benar 506 (95 + 126 + 285), 0,8576; salah 84, 0,1424</t>
  </si>
  <si>
    <t xml:space="preserve">confusion.csv scope=pooled_5seed</t>
  </si>
  <si>
    <t xml:space="preserve">Diagonal; salah = 590 - 506</t>
  </si>
  <si>
    <t xml:space="preserve">F33</t>
  </si>
  <si>
    <t xml:space="preserve">Per controller aktual terbaik (recall)</t>
  </si>
  <si>
    <t xml:space="preserve">floodlight 95/125 = 0,7600 (ke ryu 25, ke onos 5); onos 126/130 = 0,9692 (ke floodlight 2, ke ryu 2); ryu 285/335 = 0,8507 (ke floodlight 24, ke onos 26)</t>
  </si>
  <si>
    <t xml:space="preserve">Diagonal / jumlah baris</t>
  </si>
  <si>
    <t xml:space="preserve">F34</t>
  </si>
  <si>
    <t xml:space="preserve">Salah per pasangan controller (n salah = 84)</t>
  </si>
  <si>
    <t xml:space="preserve">ryu&lt;-&gt;floodlight 49 (25 + 24) = 0,5833; ryu&lt;-&gt;onos 28 (26 + 2) = 0,3333; floodlight&lt;-&gt;onos 7 (5 + 2) = 0,0833</t>
  </si>
  <si>
    <t xml:space="preserve">Jumlah dua arah / 84</t>
  </si>
  <si>
    <t xml:space="preserve">F35</t>
  </si>
  <si>
    <t xml:space="preserve">Per controller prediksi (presisi)</t>
  </si>
  <si>
    <t xml:space="preserve">ryu 285/312 = 0,9135; onos 126/157 = 0,8025; floodlight 95/121 = 0,7851</t>
  </si>
  <si>
    <t xml:space="preserve">Diagonal / jumlah kolom</t>
  </si>
  <si>
    <t xml:space="preserve">Kesalahan terbesar per sel: ryu ke onos 26, floodlight ke ryu 25, ryu ke floodlight 24.</t>
  </si>
  <si>
    <t xml:space="preserve">F36</t>
  </si>
  <si>
    <t xml:space="preserve">(f) Failure (throughput_mbps = 0)</t>
  </si>
  <si>
    <t xml:space="preserve">Total failure</t>
  </si>
  <si>
    <t xml:space="preserve">41 / 833 = 0,0492</t>
  </si>
  <si>
    <t xml:space="preserve">GROUND_TRUTH.csv</t>
  </si>
  <si>
    <t xml:space="preserve">Hitung baris throughput_mbps = 0</t>
  </si>
  <si>
    <t xml:space="preserve">F37</t>
  </si>
  <si>
    <t xml:space="preserve">Per controller</t>
  </si>
  <si>
    <t xml:space="preserve">floodlight 40/272 = 0,1471; onos 1/292 = 0,0034; ryu 0/269 = 0</t>
  </si>
  <si>
    <t xml:space="preserve">Failure / baris per controller_name</t>
  </si>
  <si>
    <t xml:space="preserve">F38</t>
  </si>
  <si>
    <t xml:space="preserve">Per topologi</t>
  </si>
  <si>
    <t xml:space="preserve">tree 13/83 = 0,1566; linear 27/239 = 0,1130; mesh 1/54 = 0,0185; ring 0/176; star 0/281</t>
  </si>
  <si>
    <t xml:space="preserve">Failure / baris per topology_type</t>
  </si>
  <si>
    <t xml:space="preserve">F39</t>
  </si>
  <si>
    <t xml:space="preserve">Silang controller x topologi</t>
  </si>
  <si>
    <t xml:space="preserve">floodlight x tree 13/27 = 0,4815; floodlight x linear 26/80 = 0,3250; floodlight x mesh 1/18 = 0,0556; onos x linear 1/82 = 0,0122. Kombinasi lain 0 failure: floodlight ring 0/58, star 0/89; onos mesh 0/18, ring 0/60, star 0/105, tree 0/27; ryu 0/77 (linear), 0/18 (mesh), 0/58 (ring), 0/87 (star), 0/29 (tree)</t>
  </si>
  <si>
    <t xml:space="preserve">Failure / baris per kombinasi</t>
  </si>
  <si>
    <t xml:space="preserve">F40</t>
  </si>
  <si>
    <t xml:space="preserve">Atribut baris failure (n=41)</t>
  </si>
  <si>
    <t xml:space="preserve">packet_loss_percent = 0 di semua 41 baris; connectivity_status: CONTROLLER 39, STANDALONE 2 (onos-linear 8 node 30M; floodlight-mesh 5 node 100M); 2 baris STANDALONE tersebut adalah satu-satunya STANDALONE di seluruh 833 baris</t>
  </si>
  <si>
    <t xml:space="preserve">Hitung nilai kolom pada baris failure</t>
  </si>
  <si>
    <t xml:space="preserve">F41</t>
  </si>
  <si>
    <t xml:space="preserve">Penyebab throughput nol</t>
  </si>
  <si>
    <t xml:space="preserve">tidak diketahui (placeholder belum diisi; tidak ada kolom penyebab di file)</t>
  </si>
  <si>
    <t xml:space="preserve">n/a</t>
  </si>
  <si>
    <t xml:space="preserve">F42</t>
  </si>
  <si>
    <t xml:space="preserve">(g) Perbandingan data bootstrap</t>
  </si>
  <si>
    <t xml:space="preserve">3 seed (42, 7, 123)</t>
  </si>
  <si>
    <t xml:space="preserve">A_original</t>
  </si>
  <si>
    <t xml:space="preserve">top1 0,855932 (std 0,020758); regret 0,012215; MAE 0,048780; baris latih rata-rata 283</t>
  </si>
  <si>
    <t xml:space="preserve">bootstrap_compare_summary.csv</t>
  </si>
  <si>
    <t xml:space="preserve">F43</t>
  </si>
  <si>
    <t xml:space="preserve">B_bootstrap</t>
  </si>
  <si>
    <t xml:space="preserve">top1 0,830508 (std 0,006919); regret 0,018534; MAE 0,053011; baris latih rata-rata 4944</t>
  </si>
  <si>
    <t xml:space="preserve">F44</t>
  </si>
  <si>
    <t xml:space="preserve">C_original+bootstrap</t>
  </si>
  <si>
    <t xml:space="preserve">top1 0,836158 (std 0,007990); regret 0,016821; MAE 0,052972; baris latih rata-rata 5227</t>
  </si>
  <si>
    <t xml:space="preserve">F45</t>
  </si>
  <si>
    <t xml:space="preserve">Selisih terhadap A</t>
  </si>
  <si>
    <t xml:space="preserve">B-A: top1 -0,025424, regret +0,006319, MAE +0,004231. C-A: top1 -0,019774, regret +0,004606, MAE +0,004192</t>
  </si>
  <si>
    <t xml:space="preserve">Pengurangan antar kondisi</t>
  </si>
  <si>
    <t xml:space="preserve">F46</t>
  </si>
  <si>
    <t xml:space="preserve">Selisih berpasangan per seed (7 / 42 / 123)</t>
  </si>
  <si>
    <t xml:space="preserve">top1 B-A: -0,025424 / -0,042373 / -0,008474 (negatif di 3/3 seed). top1 C-A: -0,025424 / -0,033898 / 0,000000. Regret B-A: +0,004566 / +0,009365 / +0,005024 (positif di 3/3 seed). Regret C-A: +0,004566 / +0,006797 / +0,002455 (positif di 3/3 seed)</t>
  </si>
  <si>
    <t xml:space="preserve">bootstrap_compare_by_seed.csv</t>
  </si>
  <si>
    <t xml:space="preserve">Pengurangan per seed</t>
  </si>
  <si>
    <t xml:space="preserve">F47</t>
  </si>
  <si>
    <t xml:space="preserve">Hubungan dengan metrik utama</t>
  </si>
  <si>
    <t xml:space="preserve">A_original sama dengan rata-rata seed 42, 7, 123 di metrics_by_seed.csv (0,855932); bukan angka pooled 5 seed pada F1</t>
  </si>
  <si>
    <t xml:space="preserve">metrics_by_seed.csv; bootstrap_compare_summary.csv</t>
  </si>
  <si>
    <t xml:space="preserve">Rata-rata 3 seed</t>
  </si>
  <si>
    <t xml:space="preserve">F48</t>
  </si>
  <si>
    <t xml:space="preserve">Hal yang tidak dapat disimpulkan</t>
  </si>
  <si>
    <t xml:space="preserve">uji signifikansi (n=3 seed), cara pembuatan data bootstrap, dan isi set uji kondisi B dan C: tidak dapat disimpulkan dari file</t>
  </si>
  <si>
    <t xml:space="preserve">F49</t>
  </si>
  <si>
    <t xml:space="preserve">(h) Cakupan lookup</t>
  </si>
  <si>
    <t xml:space="preserve">seen_in_data = 1</t>
  </si>
  <si>
    <t xml:space="preserve">118 / 1260 = 0,0937 (9,3651%); seen_in_data = 0: 1142 (90,6349%)</t>
  </si>
  <si>
    <t xml:space="preserve">lookup_recommendation.csv</t>
  </si>
  <si>
    <t xml:space="preserve">Hitung seen_in_data; direproduksi lewat pencocokan kombinasi (topologi, nodes, bandwidth, iflipper) dengan 118 scenario_id model_input, tanpa selisih</t>
  </si>
  <si>
    <t xml:space="preserve">F50</t>
  </si>
  <si>
    <t xml:space="preserve">Per iflipper_applied</t>
  </si>
  <si>
    <t xml:space="preserve">0: 102/630 = 0,1619; 1: 16/630 = 0,0254</t>
  </si>
  <si>
    <t xml:space="preserve">Dikelompokkan per iflipper_applied</t>
  </si>
  <si>
    <t xml:space="preserve">F51</t>
  </si>
  <si>
    <t xml:space="preserve">linear 31/308 = 0,1006; mesh 5/56 = 0,0893 (numerator n=5); ring 28/224 = 0,1250; star 47/308 = 0,1526; tree 7/364 = 0,0192 (numerator n=7)</t>
  </si>
  <si>
    <t xml:space="preserve">Dikelompokkan per topology_type</t>
  </si>
  <si>
    <t xml:space="preserve">Dimensi</t>
  </si>
  <si>
    <t xml:space="preserve">Segmen</t>
  </si>
  <si>
    <t xml:space="preserve">n skenario unik</t>
  </si>
  <si>
    <t xml:space="preserve">n prediksi pooled_5seed</t>
  </si>
  <si>
    <t xml:space="preserve">pooled_5seed top1</t>
  </si>
  <si>
    <t xml:space="preserve">pooled_5seed regret</t>
  </si>
  <si>
    <t xml:space="preserve">n prediksi seed42</t>
  </si>
  <si>
    <t xml:space="preserve">seed42 top1</t>
  </si>
  <si>
    <t xml:space="preserve">seed42 regret</t>
  </si>
  <si>
    <t xml:space="preserve">topologi</t>
  </si>
  <si>
    <t xml:space="preserve">star</t>
  </si>
  <si>
    <t xml:space="preserve">linear</t>
  </si>
  <si>
    <t xml:space="preserve">mesh</t>
  </si>
  <si>
    <t xml:space="preserve">ring</t>
  </si>
  <si>
    <t xml:space="preserve">tree</t>
  </si>
  <si>
    <t xml:space="preserve">nodes</t>
  </si>
  <si>
    <t xml:space="preserve">besar (13+)</t>
  </si>
  <si>
    <t xml:space="preserve">sedang (9-12)</t>
  </si>
  <si>
    <t xml:space="preserve">kecil (4-8)</t>
  </si>
  <si>
    <t xml:space="preserve">bandwidth</t>
  </si>
  <si>
    <t xml:space="preserve">sedang (label file: 30-100M; isi 15-100 MHz)</t>
  </si>
  <si>
    <t xml:space="preserve">tinggi (label file: 150M+; isi 150-1000 MHz)</t>
  </si>
  <si>
    <t xml:space="preserve">rendah (label file: 10M; isi 5-10 MHz)</t>
  </si>
  <si>
    <t xml:space="preserve">iflipper</t>
  </si>
  <si>
    <t xml:space="preserve">tidak (0)</t>
  </si>
  <si>
    <t xml:space="preserve">selalu (1)</t>
  </si>
  <si>
    <t xml:space="preserve">Sumber: segments.csv (kolom scope, dimension, segment, n, top1_acc, mean_regret); nilai disalin dari file, dibulatkan 4 desimal seperti di file. n prediksi = rumus: pooled_5seed = n x 5, seed42 = n.</t>
  </si>
  <si>
    <t xml:space="preserve">Langkah 1: pemeriksaan pembacaan (semua cocok)</t>
  </si>
  <si>
    <t xml:space="preserve">Item</t>
  </si>
  <si>
    <t xml:space="preserve">Diharapkan</t>
  </si>
  <si>
    <t xml:space="preserve">Hasil</t>
  </si>
  <si>
    <t xml:space="preserve">Status</t>
  </si>
  <si>
    <t xml:space="preserve">model_input.csv</t>
  </si>
  <si>
    <t xml:space="preserve">354 baris, 118 scenario_id</t>
  </si>
  <si>
    <t xml:space="preserve">354 baris, 118 scenario_id (tiap id 3 baris)</t>
  </si>
  <si>
    <t xml:space="preserve">cocok</t>
  </si>
  <si>
    <t xml:space="preserve">predictions.csv</t>
  </si>
  <si>
    <t xml:space="preserve">590</t>
  </si>
  <si>
    <t xml:space="preserve">590 (118 x 5 seed)</t>
  </si>
  <si>
    <t xml:space="preserve">graph_edges.csv</t>
  </si>
  <si>
    <t xml:space="preserve">15</t>
  </si>
  <si>
    <t xml:space="preserve">1260</t>
  </si>
  <si>
    <t xml:space="preserve">1260 (tanpa duplikat kombinasi)</t>
  </si>
  <si>
    <t xml:space="preserve">metrics.csv RF top1_mean</t>
  </si>
  <si>
    <t xml:space="preserve">sekitar 0,858</t>
  </si>
  <si>
    <t xml:space="preserve">0,857627</t>
  </si>
  <si>
    <t xml:space="preserve">metrics.csv always_ryu</t>
  </si>
  <si>
    <t xml:space="preserve">sekitar 0,568</t>
  </si>
  <si>
    <t xml:space="preserve">0,567797</t>
  </si>
  <si>
    <t xml:space="preserve">Uji silang</t>
  </si>
  <si>
    <t xml:space="preserve">top1 dan regret metrics.csv direproduksi dari predictions.csv; baseline direproduksi dari model_input.csv (ryu terbaik di 67 dari 118 skenario); total confusion = 590; graf direproduksi dari model_input.csv (selisih &lt;= 5e-7, wins dan n identik); seen_in_data direproduksi (118 kombinasi).</t>
  </si>
  <si>
    <t xml:space="preserve">Catatan std</t>
  </si>
  <si>
    <t xml:space="preserve">top1_std dan regret_std di metrics.csv adalah std populasi (ddof=0). Std sampel (ddof=1) tertulis di F5 dan F6.</t>
  </si>
  <si>
    <t xml:space="preserve">Catatan sebelum tabel</t>
  </si>
  <si>
    <t xml:space="preserve">N1</t>
  </si>
  <si>
    <t xml:space="preserve">Penyebab throughput nol: bagian [ISI: ...] di prompt belum diisi dan tidak ada kolom penyebab di file. Penyebab ditulis "tidak diketahui".</t>
  </si>
  <si>
    <t xml:space="preserve">N2</t>
  </si>
  <si>
    <t xml:space="preserve">Label bandwidth di segments.csv tidak persis sama dengan isinya: "rendah (10M)" mencakup 5 dan 10 MHz (26 skenario); "sedang (30-100M)" mencakup 15 sampai 100 MHz (60 skenario); "tinggi (150M+)" mencakup 150 sampai 1000 MHz (32 skenario).</t>
  </si>
  <si>
    <t xml:space="preserve">N3</t>
  </si>
  <si>
    <t xml:space="preserve">GROUND_TRUTH.csv dan model_input.csv tidak bisa direkonsiliasi penuh: GT memuat 168 scenario_name, model_input 113 scenario_name (118 scenario_id); baris GT non-failure 792 vs jumlah n_runs model_input 511; dari 41 baris failure, 13 ada di scenario_name yang masuk model_input dan 28 di scenario_name yang tidak masuk. Alasan perbedaan tidak dapat disimpulkan dari file.</t>
  </si>
  <si>
    <t xml:space="preserve">Keterangan per bagian</t>
  </si>
  <si>
    <t xml:space="preserve">Scope / n</t>
  </si>
  <si>
    <t xml:space="preserve">Keterangan</t>
  </si>
  <si>
    <t xml:space="preserve">pooled_5seed | 590 prediksi = 118 skenario x 5 seed</t>
  </si>
  <si>
    <t xml:space="preserve">11 fitur</t>
  </si>
  <si>
    <t xml:space="preserve">Scope model/seed tidak tercatat di file. Importance bukan bukti sebab-akibat.</t>
  </si>
  <si>
    <t xml:space="preserve">n = jumlah scenario_id; avg = rata-rata ahp_score; sd = std sampel. Sumber: graph_edges.csv dan graph_topology_summary.csv, direproduksi dari model_input.csv.</t>
  </si>
  <si>
    <t xml:space="preserve">n = skenario unik; pooled: jumlah prediksi = n x 5; seed42: jumlah prediksi = n. Sumber: segments.csv dengan filter scope dan dimension; scope dipisah dan tidak dicampur. Angka segmen sudah dicocokkan dengan hitung ulang dari predictions.csv.</t>
  </si>
  <si>
    <t xml:space="preserve">pooled_5seed | 590</t>
  </si>
  <si>
    <t xml:space="preserve">Sumber: confusion.csv scope=pooled_5seed.</t>
  </si>
  <si>
    <t xml:space="preserve">833 baris run</t>
  </si>
  <si>
    <t xml:space="preserve">n = baris run, bukan skenario. Sumber: GROUND_TRUTH.csv.</t>
  </si>
  <si>
    <t xml:space="preserve">3 seed (42, 7, 123) | n_test = 118 skenario per seed</t>
  </si>
  <si>
    <t xml:space="preserve">Sumber: bootstrap_compare_summary.csv dan bootstrap_compare_by_seed.csv.</t>
  </si>
  <si>
    <t xml:space="preserve">1260 kombinasi unik</t>
  </si>
  <si>
    <t xml:space="preserve">Sumber: lookup_recommendation.csv.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</si>
</sst>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0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34"/>
    <col collapsed="false" customWidth="true" hidden="false" outlineLevel="0" max="5" min="5" style="0" width="62"/>
    <col collapsed="false" customWidth="true" hidden="false" outlineLevel="0" max="6" min="6" style="0" width="36"/>
    <col collapsed="false" customWidth="true" hidden="false" outlineLevel="0" max="7" min="7" style="0" width="40"/>
    <col collapsed="false" customWidth="true" hidden="false" outlineLevel="0" max="8" min="8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/>
    </row>
    <row r="3" customFormat="false" ht="23.85" hidden="false" customHeight="false" outlineLevel="0" collapsed="false">
      <c r="A3" s="2" t="s">
        <v>15</v>
      </c>
      <c r="B3" s="3" t="s">
        <v>9</v>
      </c>
      <c r="C3" s="3" t="s">
        <v>10</v>
      </c>
      <c r="D3" s="3" t="s">
        <v>16</v>
      </c>
      <c r="E3" s="3" t="s">
        <v>17</v>
      </c>
      <c r="F3" s="3" t="s">
        <v>18</v>
      </c>
      <c r="G3" s="3" t="s">
        <v>19</v>
      </c>
      <c r="H3" s="3"/>
    </row>
    <row r="4" customFormat="false" ht="46.25" hidden="false" customHeight="false" outlineLevel="0" collapsed="false">
      <c r="A4" s="2" t="s">
        <v>20</v>
      </c>
      <c r="B4" s="3" t="s">
        <v>9</v>
      </c>
      <c r="C4" s="3" t="s">
        <v>10</v>
      </c>
      <c r="D4" s="3" t="s">
        <v>21</v>
      </c>
      <c r="E4" s="3" t="s">
        <v>22</v>
      </c>
      <c r="F4" s="3" t="s">
        <v>23</v>
      </c>
      <c r="G4" s="3" t="s">
        <v>24</v>
      </c>
      <c r="H4" s="3"/>
    </row>
    <row r="5" customFormat="false" ht="23.85" hidden="false" customHeight="false" outlineLevel="0" collapsed="false">
      <c r="A5" s="2" t="s">
        <v>25</v>
      </c>
      <c r="B5" s="3" t="s">
        <v>9</v>
      </c>
      <c r="C5" s="3" t="s">
        <v>10</v>
      </c>
      <c r="D5" s="3" t="s">
        <v>26</v>
      </c>
      <c r="E5" s="3" t="s">
        <v>27</v>
      </c>
      <c r="F5" s="3" t="s">
        <v>28</v>
      </c>
      <c r="G5" s="3" t="s">
        <v>29</v>
      </c>
      <c r="H5" s="3"/>
    </row>
    <row r="6" customFormat="false" ht="35.05" hidden="false" customHeight="false" outlineLevel="0" collapsed="false">
      <c r="A6" s="2" t="s">
        <v>30</v>
      </c>
      <c r="B6" s="3" t="s">
        <v>9</v>
      </c>
      <c r="C6" s="3" t="s">
        <v>10</v>
      </c>
      <c r="D6" s="3" t="s">
        <v>31</v>
      </c>
      <c r="E6" s="3" t="s">
        <v>32</v>
      </c>
      <c r="F6" s="3" t="s">
        <v>33</v>
      </c>
      <c r="G6" s="3" t="s">
        <v>34</v>
      </c>
      <c r="H6" s="3"/>
    </row>
    <row r="7" customFormat="false" ht="35.05" hidden="false" customHeight="false" outlineLevel="0" collapsed="false">
      <c r="A7" s="2" t="s">
        <v>35</v>
      </c>
      <c r="B7" s="3" t="s">
        <v>9</v>
      </c>
      <c r="C7" s="3" t="s">
        <v>10</v>
      </c>
      <c r="D7" s="3" t="s">
        <v>36</v>
      </c>
      <c r="E7" s="3" t="s">
        <v>37</v>
      </c>
      <c r="F7" s="3" t="s">
        <v>38</v>
      </c>
      <c r="G7" s="3" t="s">
        <v>39</v>
      </c>
      <c r="H7" s="3"/>
    </row>
    <row r="8" customFormat="false" ht="15" hidden="false" customHeight="false" outlineLevel="0" collapsed="false">
      <c r="A8" s="2" t="s">
        <v>40</v>
      </c>
      <c r="B8" s="3" t="s">
        <v>9</v>
      </c>
      <c r="C8" s="3" t="s">
        <v>10</v>
      </c>
      <c r="D8" s="3" t="s">
        <v>41</v>
      </c>
      <c r="E8" s="3" t="s">
        <v>42</v>
      </c>
      <c r="F8" s="3" t="s">
        <v>43</v>
      </c>
      <c r="G8" s="3" t="s">
        <v>44</v>
      </c>
      <c r="H8" s="3"/>
    </row>
    <row r="9" customFormat="false" ht="23.85" hidden="false" customHeight="false" outlineLevel="0" collapsed="false">
      <c r="A9" s="2" t="s">
        <v>45</v>
      </c>
      <c r="B9" s="3" t="s">
        <v>46</v>
      </c>
      <c r="C9" s="3"/>
      <c r="D9" s="3" t="s">
        <v>47</v>
      </c>
      <c r="E9" s="3" t="s">
        <v>48</v>
      </c>
      <c r="F9" s="3" t="s">
        <v>49</v>
      </c>
      <c r="G9" s="3" t="s">
        <v>50</v>
      </c>
      <c r="H9" s="3"/>
    </row>
    <row r="10" customFormat="false" ht="23.85" hidden="false" customHeight="false" outlineLevel="0" collapsed="false">
      <c r="A10" s="2" t="s">
        <v>51</v>
      </c>
      <c r="B10" s="3" t="s">
        <v>46</v>
      </c>
      <c r="C10" s="3"/>
      <c r="D10" s="3" t="s">
        <v>52</v>
      </c>
      <c r="E10" s="3" t="s">
        <v>53</v>
      </c>
      <c r="F10" s="3" t="s">
        <v>49</v>
      </c>
      <c r="G10" s="3" t="s">
        <v>50</v>
      </c>
      <c r="H10" s="3"/>
    </row>
    <row r="11" customFormat="false" ht="23.85" hidden="false" customHeight="false" outlineLevel="0" collapsed="false">
      <c r="A11" s="2" t="s">
        <v>54</v>
      </c>
      <c r="B11" s="3" t="s">
        <v>46</v>
      </c>
      <c r="C11" s="3"/>
      <c r="D11" s="3" t="s">
        <v>55</v>
      </c>
      <c r="E11" s="3" t="s">
        <v>56</v>
      </c>
      <c r="F11" s="3" t="s">
        <v>49</v>
      </c>
      <c r="G11" s="3" t="s">
        <v>50</v>
      </c>
      <c r="H11" s="3"/>
    </row>
    <row r="12" customFormat="false" ht="23.85" hidden="false" customHeight="false" outlineLevel="0" collapsed="false">
      <c r="A12" s="2" t="s">
        <v>57</v>
      </c>
      <c r="B12" s="3" t="s">
        <v>46</v>
      </c>
      <c r="C12" s="3"/>
      <c r="D12" s="3" t="s">
        <v>58</v>
      </c>
      <c r="E12" s="3" t="s">
        <v>59</v>
      </c>
      <c r="F12" s="3" t="s">
        <v>49</v>
      </c>
      <c r="G12" s="3" t="s">
        <v>50</v>
      </c>
      <c r="H12" s="3"/>
    </row>
    <row r="13" customFormat="false" ht="23.85" hidden="false" customHeight="false" outlineLevel="0" collapsed="false">
      <c r="A13" s="2" t="s">
        <v>60</v>
      </c>
      <c r="B13" s="3" t="s">
        <v>46</v>
      </c>
      <c r="C13" s="3"/>
      <c r="D13" s="3" t="s">
        <v>61</v>
      </c>
      <c r="E13" s="3" t="s">
        <v>62</v>
      </c>
      <c r="F13" s="3" t="s">
        <v>49</v>
      </c>
      <c r="G13" s="3" t="s">
        <v>50</v>
      </c>
      <c r="H13" s="3"/>
    </row>
    <row r="14" customFormat="false" ht="23.85" hidden="false" customHeight="false" outlineLevel="0" collapsed="false">
      <c r="A14" s="2" t="s">
        <v>63</v>
      </c>
      <c r="B14" s="3" t="s">
        <v>46</v>
      </c>
      <c r="C14" s="3"/>
      <c r="D14" s="3" t="s">
        <v>64</v>
      </c>
      <c r="E14" s="3" t="s">
        <v>65</v>
      </c>
      <c r="F14" s="3" t="s">
        <v>49</v>
      </c>
      <c r="G14" s="3" t="s">
        <v>66</v>
      </c>
      <c r="H14" s="3"/>
    </row>
    <row r="15" customFormat="false" ht="35.05" hidden="false" customHeight="false" outlineLevel="0" collapsed="false">
      <c r="A15" s="2" t="s">
        <v>67</v>
      </c>
      <c r="B15" s="3" t="s">
        <v>68</v>
      </c>
      <c r="C15" s="3"/>
      <c r="D15" s="3" t="s">
        <v>69</v>
      </c>
      <c r="E15" s="3" t="s">
        <v>70</v>
      </c>
      <c r="F15" s="3" t="s">
        <v>71</v>
      </c>
      <c r="G15" s="3" t="s">
        <v>72</v>
      </c>
      <c r="H15" s="3"/>
    </row>
    <row r="16" customFormat="false" ht="35.05" hidden="false" customHeight="false" outlineLevel="0" collapsed="false">
      <c r="A16" s="2" t="s">
        <v>73</v>
      </c>
      <c r="B16" s="3" t="s">
        <v>68</v>
      </c>
      <c r="C16" s="3"/>
      <c r="D16" s="3" t="s">
        <v>74</v>
      </c>
      <c r="E16" s="3" t="s">
        <v>75</v>
      </c>
      <c r="F16" s="3" t="s">
        <v>71</v>
      </c>
      <c r="G16" s="3" t="s">
        <v>72</v>
      </c>
      <c r="H16" s="4" t="s">
        <v>76</v>
      </c>
    </row>
    <row r="17" customFormat="false" ht="35.05" hidden="false" customHeight="false" outlineLevel="0" collapsed="false">
      <c r="A17" s="2" t="s">
        <v>77</v>
      </c>
      <c r="B17" s="3" t="s">
        <v>68</v>
      </c>
      <c r="C17" s="3"/>
      <c r="D17" s="3" t="s">
        <v>78</v>
      </c>
      <c r="E17" s="3" t="s">
        <v>79</v>
      </c>
      <c r="F17" s="3" t="s">
        <v>71</v>
      </c>
      <c r="G17" s="3" t="s">
        <v>72</v>
      </c>
      <c r="H17" s="3"/>
    </row>
    <row r="18" customFormat="false" ht="35.05" hidden="false" customHeight="false" outlineLevel="0" collapsed="false">
      <c r="A18" s="2" t="s">
        <v>80</v>
      </c>
      <c r="B18" s="3" t="s">
        <v>68</v>
      </c>
      <c r="C18" s="3"/>
      <c r="D18" s="3" t="s">
        <v>81</v>
      </c>
      <c r="E18" s="3" t="s">
        <v>82</v>
      </c>
      <c r="F18" s="3" t="s">
        <v>71</v>
      </c>
      <c r="G18" s="3" t="s">
        <v>72</v>
      </c>
      <c r="H18" s="3"/>
    </row>
    <row r="19" customFormat="false" ht="35.05" hidden="false" customHeight="false" outlineLevel="0" collapsed="false">
      <c r="A19" s="2" t="s">
        <v>83</v>
      </c>
      <c r="B19" s="3" t="s">
        <v>68</v>
      </c>
      <c r="C19" s="3"/>
      <c r="D19" s="3" t="s">
        <v>84</v>
      </c>
      <c r="E19" s="3" t="s">
        <v>85</v>
      </c>
      <c r="F19" s="3" t="s">
        <v>71</v>
      </c>
      <c r="G19" s="3" t="s">
        <v>72</v>
      </c>
      <c r="H19" s="4" t="s">
        <v>76</v>
      </c>
    </row>
    <row r="20" customFormat="false" ht="35.05" hidden="false" customHeight="false" outlineLevel="0" collapsed="false">
      <c r="A20" s="2" t="s">
        <v>86</v>
      </c>
      <c r="B20" s="3" t="s">
        <v>68</v>
      </c>
      <c r="C20" s="3"/>
      <c r="D20" s="3" t="s">
        <v>87</v>
      </c>
      <c r="E20" s="3"/>
      <c r="F20" s="3"/>
      <c r="G20" s="3"/>
      <c r="H20" s="3"/>
    </row>
    <row r="21" customFormat="false" ht="35.05" hidden="false" customHeight="false" outlineLevel="0" collapsed="false">
      <c r="A21" s="2" t="s">
        <v>88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93</v>
      </c>
      <c r="G21" s="3" t="s">
        <v>44</v>
      </c>
      <c r="H21" s="3"/>
    </row>
    <row r="22" customFormat="false" ht="35.05" hidden="false" customHeight="false" outlineLevel="0" collapsed="false">
      <c r="A22" s="2" t="s">
        <v>94</v>
      </c>
      <c r="B22" s="3" t="s">
        <v>89</v>
      </c>
      <c r="C22" s="3" t="s">
        <v>90</v>
      </c>
      <c r="D22" s="3" t="s">
        <v>95</v>
      </c>
      <c r="E22" s="3" t="s">
        <v>96</v>
      </c>
      <c r="F22" s="3" t="s">
        <v>93</v>
      </c>
      <c r="G22" s="3" t="s">
        <v>44</v>
      </c>
      <c r="H22" s="3"/>
    </row>
    <row r="23" customFormat="false" ht="35.05" hidden="false" customHeight="false" outlineLevel="0" collapsed="false">
      <c r="A23" s="2" t="s">
        <v>97</v>
      </c>
      <c r="B23" s="3" t="s">
        <v>89</v>
      </c>
      <c r="C23" s="3" t="s">
        <v>90</v>
      </c>
      <c r="D23" s="3" t="s">
        <v>98</v>
      </c>
      <c r="E23" s="3" t="s">
        <v>99</v>
      </c>
      <c r="F23" s="3" t="s">
        <v>93</v>
      </c>
      <c r="G23" s="3" t="s">
        <v>44</v>
      </c>
      <c r="H23" s="4" t="s">
        <v>76</v>
      </c>
    </row>
    <row r="24" customFormat="false" ht="35.05" hidden="false" customHeight="false" outlineLevel="0" collapsed="false">
      <c r="A24" s="2" t="s">
        <v>100</v>
      </c>
      <c r="B24" s="3" t="s">
        <v>89</v>
      </c>
      <c r="C24" s="3" t="s">
        <v>90</v>
      </c>
      <c r="D24" s="3" t="s">
        <v>101</v>
      </c>
      <c r="E24" s="3" t="s">
        <v>102</v>
      </c>
      <c r="F24" s="3" t="s">
        <v>93</v>
      </c>
      <c r="G24" s="3" t="s">
        <v>44</v>
      </c>
      <c r="H24" s="3"/>
    </row>
    <row r="25" customFormat="false" ht="35.05" hidden="false" customHeight="false" outlineLevel="0" collapsed="false">
      <c r="A25" s="2" t="s">
        <v>103</v>
      </c>
      <c r="B25" s="3" t="s">
        <v>89</v>
      </c>
      <c r="C25" s="3" t="s">
        <v>90</v>
      </c>
      <c r="D25" s="3" t="s">
        <v>104</v>
      </c>
      <c r="E25" s="3" t="s">
        <v>105</v>
      </c>
      <c r="F25" s="3" t="s">
        <v>93</v>
      </c>
      <c r="G25" s="3" t="s">
        <v>44</v>
      </c>
      <c r="H25" s="4" t="s">
        <v>76</v>
      </c>
    </row>
    <row r="26" customFormat="false" ht="35.05" hidden="false" customHeight="false" outlineLevel="0" collapsed="false">
      <c r="A26" s="2" t="s">
        <v>106</v>
      </c>
      <c r="B26" s="3" t="s">
        <v>89</v>
      </c>
      <c r="C26" s="3" t="s">
        <v>90</v>
      </c>
      <c r="D26" s="3" t="s">
        <v>107</v>
      </c>
      <c r="E26" s="3" t="s">
        <v>108</v>
      </c>
      <c r="F26" s="3" t="s">
        <v>93</v>
      </c>
      <c r="G26" s="3" t="s">
        <v>44</v>
      </c>
      <c r="H26" s="3"/>
    </row>
    <row r="27" customFormat="false" ht="35.05" hidden="false" customHeight="false" outlineLevel="0" collapsed="false">
      <c r="A27" s="2" t="s">
        <v>109</v>
      </c>
      <c r="B27" s="3" t="s">
        <v>89</v>
      </c>
      <c r="C27" s="3" t="s">
        <v>90</v>
      </c>
      <c r="D27" s="3" t="s">
        <v>110</v>
      </c>
      <c r="E27" s="3" t="s">
        <v>111</v>
      </c>
      <c r="F27" s="3" t="s">
        <v>93</v>
      </c>
      <c r="G27" s="3" t="s">
        <v>44</v>
      </c>
      <c r="H27" s="3"/>
    </row>
    <row r="28" customFormat="false" ht="35.05" hidden="false" customHeight="false" outlineLevel="0" collapsed="false">
      <c r="A28" s="2" t="s">
        <v>112</v>
      </c>
      <c r="B28" s="3" t="s">
        <v>89</v>
      </c>
      <c r="C28" s="3" t="s">
        <v>90</v>
      </c>
      <c r="D28" s="3" t="s">
        <v>113</v>
      </c>
      <c r="E28" s="3" t="s">
        <v>114</v>
      </c>
      <c r="F28" s="3" t="s">
        <v>93</v>
      </c>
      <c r="G28" s="3" t="s">
        <v>44</v>
      </c>
      <c r="H28" s="3"/>
    </row>
    <row r="29" customFormat="false" ht="35.05" hidden="false" customHeight="false" outlineLevel="0" collapsed="false">
      <c r="A29" s="2" t="s">
        <v>115</v>
      </c>
      <c r="B29" s="3" t="s">
        <v>89</v>
      </c>
      <c r="C29" s="3" t="s">
        <v>90</v>
      </c>
      <c r="D29" s="3" t="s">
        <v>116</v>
      </c>
      <c r="E29" s="3" t="s">
        <v>117</v>
      </c>
      <c r="F29" s="3" t="s">
        <v>93</v>
      </c>
      <c r="G29" s="3" t="s">
        <v>44</v>
      </c>
      <c r="H29" s="3"/>
    </row>
    <row r="30" customFormat="false" ht="35.05" hidden="false" customHeight="false" outlineLevel="0" collapsed="false">
      <c r="A30" s="2" t="s">
        <v>118</v>
      </c>
      <c r="B30" s="3" t="s">
        <v>89</v>
      </c>
      <c r="C30" s="3" t="s">
        <v>90</v>
      </c>
      <c r="D30" s="3" t="s">
        <v>119</v>
      </c>
      <c r="E30" s="3" t="s">
        <v>120</v>
      </c>
      <c r="F30" s="3" t="s">
        <v>93</v>
      </c>
      <c r="G30" s="3" t="s">
        <v>44</v>
      </c>
      <c r="H30" s="3"/>
    </row>
    <row r="31" customFormat="false" ht="35.05" hidden="false" customHeight="false" outlineLevel="0" collapsed="false">
      <c r="A31" s="2" t="s">
        <v>121</v>
      </c>
      <c r="B31" s="3" t="s">
        <v>89</v>
      </c>
      <c r="C31" s="3" t="s">
        <v>90</v>
      </c>
      <c r="D31" s="3" t="s">
        <v>122</v>
      </c>
      <c r="E31" s="3" t="s">
        <v>123</v>
      </c>
      <c r="F31" s="3" t="s">
        <v>93</v>
      </c>
      <c r="G31" s="3" t="s">
        <v>44</v>
      </c>
      <c r="H31" s="3"/>
    </row>
    <row r="32" customFormat="false" ht="35.05" hidden="false" customHeight="false" outlineLevel="0" collapsed="false">
      <c r="A32" s="2" t="s">
        <v>124</v>
      </c>
      <c r="B32" s="3" t="s">
        <v>89</v>
      </c>
      <c r="C32" s="3" t="s">
        <v>90</v>
      </c>
      <c r="D32" s="3" t="s">
        <v>125</v>
      </c>
      <c r="E32" s="3" t="s">
        <v>126</v>
      </c>
      <c r="F32" s="3" t="s">
        <v>93</v>
      </c>
      <c r="G32" s="3" t="s">
        <v>44</v>
      </c>
      <c r="H32" s="3"/>
    </row>
    <row r="33" customFormat="false" ht="35.05" hidden="false" customHeight="false" outlineLevel="0" collapsed="false">
      <c r="A33" s="2" t="s">
        <v>127</v>
      </c>
      <c r="B33" s="3" t="s">
        <v>89</v>
      </c>
      <c r="C33" s="3" t="s">
        <v>90</v>
      </c>
      <c r="D33" s="3" t="s">
        <v>128</v>
      </c>
      <c r="E33" s="3" t="s">
        <v>129</v>
      </c>
      <c r="F33" s="3" t="s">
        <v>93</v>
      </c>
      <c r="G33" s="3" t="s">
        <v>44</v>
      </c>
      <c r="H33" s="3"/>
    </row>
    <row r="34" customFormat="false" ht="35.05" hidden="false" customHeight="false" outlineLevel="0" collapsed="false">
      <c r="A34" s="2" t="s">
        <v>130</v>
      </c>
      <c r="B34" s="3" t="s">
        <v>89</v>
      </c>
      <c r="C34" s="3" t="s">
        <v>90</v>
      </c>
      <c r="D34" s="3" t="s">
        <v>131</v>
      </c>
      <c r="E34" s="3" t="s">
        <v>132</v>
      </c>
      <c r="F34" s="3" t="s">
        <v>133</v>
      </c>
      <c r="G34" s="3" t="s">
        <v>134</v>
      </c>
      <c r="H34" s="3"/>
    </row>
    <row r="35" customFormat="false" ht="35.05" hidden="false" customHeight="false" outlineLevel="0" collapsed="false">
      <c r="A35" s="2" t="s">
        <v>135</v>
      </c>
      <c r="B35" s="3" t="s">
        <v>89</v>
      </c>
      <c r="C35" s="3" t="s">
        <v>90</v>
      </c>
      <c r="D35" s="3" t="s">
        <v>136</v>
      </c>
      <c r="E35" s="3" t="s">
        <v>137</v>
      </c>
      <c r="F35" s="3" t="s">
        <v>138</v>
      </c>
      <c r="G35" s="3" t="s">
        <v>139</v>
      </c>
      <c r="H35" s="3"/>
    </row>
    <row r="36" customFormat="false" ht="35.05" hidden="false" customHeight="false" outlineLevel="0" collapsed="false">
      <c r="A36" s="2" t="s">
        <v>140</v>
      </c>
      <c r="B36" s="3" t="s">
        <v>89</v>
      </c>
      <c r="C36" s="3" t="s">
        <v>90</v>
      </c>
      <c r="D36" s="3" t="s">
        <v>141</v>
      </c>
      <c r="E36" s="3" t="s">
        <v>142</v>
      </c>
      <c r="F36" s="3" t="s">
        <v>143</v>
      </c>
      <c r="G36" s="3" t="s">
        <v>44</v>
      </c>
      <c r="H36" s="3"/>
    </row>
    <row r="37" customFormat="false" ht="15" hidden="false" customHeight="false" outlineLevel="0" collapsed="false">
      <c r="A37" s="2" t="s">
        <v>144</v>
      </c>
      <c r="B37" s="3" t="s">
        <v>145</v>
      </c>
      <c r="C37" s="3" t="s">
        <v>10</v>
      </c>
      <c r="D37" s="3" t="s">
        <v>146</v>
      </c>
      <c r="E37" s="3" t="s">
        <v>147</v>
      </c>
      <c r="F37" s="3" t="s">
        <v>148</v>
      </c>
      <c r="G37" s="3" t="s">
        <v>149</v>
      </c>
      <c r="H37" s="3"/>
    </row>
    <row r="38" customFormat="false" ht="23.85" hidden="false" customHeight="false" outlineLevel="0" collapsed="false">
      <c r="A38" s="2" t="s">
        <v>150</v>
      </c>
      <c r="B38" s="3" t="s">
        <v>145</v>
      </c>
      <c r="C38" s="3" t="s">
        <v>10</v>
      </c>
      <c r="D38" s="3" t="s">
        <v>151</v>
      </c>
      <c r="E38" s="3" t="s">
        <v>152</v>
      </c>
      <c r="F38" s="3" t="s">
        <v>148</v>
      </c>
      <c r="G38" s="3" t="s">
        <v>153</v>
      </c>
      <c r="H38" s="3"/>
    </row>
    <row r="39" customFormat="false" ht="23.85" hidden="false" customHeight="false" outlineLevel="0" collapsed="false">
      <c r="A39" s="2" t="s">
        <v>154</v>
      </c>
      <c r="B39" s="3" t="s">
        <v>145</v>
      </c>
      <c r="C39" s="3" t="s">
        <v>10</v>
      </c>
      <c r="D39" s="3" t="s">
        <v>155</v>
      </c>
      <c r="E39" s="3" t="s">
        <v>156</v>
      </c>
      <c r="F39" s="3" t="s">
        <v>148</v>
      </c>
      <c r="G39" s="3" t="s">
        <v>157</v>
      </c>
      <c r="H39" s="3"/>
    </row>
    <row r="40" customFormat="false" ht="15" hidden="false" customHeight="false" outlineLevel="0" collapsed="false">
      <c r="A40" s="2" t="s">
        <v>158</v>
      </c>
      <c r="B40" s="3" t="s">
        <v>145</v>
      </c>
      <c r="C40" s="3" t="s">
        <v>10</v>
      </c>
      <c r="D40" s="3" t="s">
        <v>159</v>
      </c>
      <c r="E40" s="3" t="s">
        <v>160</v>
      </c>
      <c r="F40" s="3" t="s">
        <v>148</v>
      </c>
      <c r="G40" s="3" t="s">
        <v>161</v>
      </c>
      <c r="H40" s="3"/>
    </row>
    <row r="41" customFormat="false" ht="35.05" hidden="false" customHeight="false" outlineLevel="0" collapsed="false">
      <c r="A41" s="2" t="s">
        <v>86</v>
      </c>
      <c r="B41" s="3" t="s">
        <v>145</v>
      </c>
      <c r="C41" s="3" t="s">
        <v>10</v>
      </c>
      <c r="D41" s="3" t="s">
        <v>162</v>
      </c>
      <c r="E41" s="3"/>
      <c r="F41" s="3"/>
      <c r="G41" s="3"/>
      <c r="H41" s="3"/>
    </row>
    <row r="42" customFormat="false" ht="23.85" hidden="false" customHeight="false" outlineLevel="0" collapsed="false">
      <c r="A42" s="2" t="s">
        <v>163</v>
      </c>
      <c r="B42" s="3" t="s">
        <v>164</v>
      </c>
      <c r="C42" s="3"/>
      <c r="D42" s="3" t="s">
        <v>165</v>
      </c>
      <c r="E42" s="3" t="s">
        <v>166</v>
      </c>
      <c r="F42" s="3" t="s">
        <v>167</v>
      </c>
      <c r="G42" s="3" t="s">
        <v>168</v>
      </c>
      <c r="H42" s="3"/>
    </row>
    <row r="43" customFormat="false" ht="23.85" hidden="false" customHeight="false" outlineLevel="0" collapsed="false">
      <c r="A43" s="2" t="s">
        <v>169</v>
      </c>
      <c r="B43" s="3" t="s">
        <v>164</v>
      </c>
      <c r="C43" s="3"/>
      <c r="D43" s="3" t="s">
        <v>170</v>
      </c>
      <c r="E43" s="3" t="s">
        <v>171</v>
      </c>
      <c r="F43" s="3" t="s">
        <v>167</v>
      </c>
      <c r="G43" s="3" t="s">
        <v>172</v>
      </c>
      <c r="H43" s="3"/>
    </row>
    <row r="44" customFormat="false" ht="23.85" hidden="false" customHeight="false" outlineLevel="0" collapsed="false">
      <c r="A44" s="2" t="s">
        <v>173</v>
      </c>
      <c r="B44" s="3" t="s">
        <v>164</v>
      </c>
      <c r="C44" s="3"/>
      <c r="D44" s="3" t="s">
        <v>174</v>
      </c>
      <c r="E44" s="3" t="s">
        <v>175</v>
      </c>
      <c r="F44" s="3" t="s">
        <v>167</v>
      </c>
      <c r="G44" s="3" t="s">
        <v>176</v>
      </c>
      <c r="H44" s="3"/>
    </row>
    <row r="45" customFormat="false" ht="46.25" hidden="false" customHeight="false" outlineLevel="0" collapsed="false">
      <c r="A45" s="2" t="s">
        <v>177</v>
      </c>
      <c r="B45" s="3" t="s">
        <v>164</v>
      </c>
      <c r="C45" s="3"/>
      <c r="D45" s="3" t="s">
        <v>178</v>
      </c>
      <c r="E45" s="3" t="s">
        <v>179</v>
      </c>
      <c r="F45" s="3" t="s">
        <v>167</v>
      </c>
      <c r="G45" s="3" t="s">
        <v>180</v>
      </c>
      <c r="H45" s="3"/>
    </row>
    <row r="46" customFormat="false" ht="46.25" hidden="false" customHeight="false" outlineLevel="0" collapsed="false">
      <c r="A46" s="2" t="s">
        <v>181</v>
      </c>
      <c r="B46" s="3" t="s">
        <v>164</v>
      </c>
      <c r="C46" s="3"/>
      <c r="D46" s="3" t="s">
        <v>182</v>
      </c>
      <c r="E46" s="3" t="s">
        <v>183</v>
      </c>
      <c r="F46" s="3" t="s">
        <v>167</v>
      </c>
      <c r="G46" s="3" t="s">
        <v>184</v>
      </c>
      <c r="H46" s="3"/>
    </row>
    <row r="47" customFormat="false" ht="23.85" hidden="false" customHeight="false" outlineLevel="0" collapsed="false">
      <c r="A47" s="2" t="s">
        <v>185</v>
      </c>
      <c r="B47" s="3" t="s">
        <v>164</v>
      </c>
      <c r="C47" s="3"/>
      <c r="D47" s="3" t="s">
        <v>186</v>
      </c>
      <c r="E47" s="3" t="s">
        <v>187</v>
      </c>
      <c r="F47" s="3" t="s">
        <v>133</v>
      </c>
      <c r="G47" s="3" t="s">
        <v>188</v>
      </c>
      <c r="H47" s="3"/>
    </row>
    <row r="48" customFormat="false" ht="23.85" hidden="false" customHeight="false" outlineLevel="0" collapsed="false">
      <c r="A48" s="2" t="s">
        <v>189</v>
      </c>
      <c r="B48" s="3" t="s">
        <v>190</v>
      </c>
      <c r="C48" s="3" t="s">
        <v>191</v>
      </c>
      <c r="D48" s="3" t="s">
        <v>192</v>
      </c>
      <c r="E48" s="3" t="s">
        <v>193</v>
      </c>
      <c r="F48" s="3" t="s">
        <v>194</v>
      </c>
      <c r="G48" s="3" t="s">
        <v>44</v>
      </c>
      <c r="H48" s="3"/>
    </row>
    <row r="49" customFormat="false" ht="23.85" hidden="false" customHeight="false" outlineLevel="0" collapsed="false">
      <c r="A49" s="2" t="s">
        <v>195</v>
      </c>
      <c r="B49" s="3" t="s">
        <v>190</v>
      </c>
      <c r="C49" s="3" t="s">
        <v>191</v>
      </c>
      <c r="D49" s="3" t="s">
        <v>196</v>
      </c>
      <c r="E49" s="3" t="s">
        <v>197</v>
      </c>
      <c r="F49" s="3" t="s">
        <v>194</v>
      </c>
      <c r="G49" s="3" t="s">
        <v>44</v>
      </c>
      <c r="H49" s="3"/>
    </row>
    <row r="50" customFormat="false" ht="23.85" hidden="false" customHeight="false" outlineLevel="0" collapsed="false">
      <c r="A50" s="2" t="s">
        <v>198</v>
      </c>
      <c r="B50" s="3" t="s">
        <v>190</v>
      </c>
      <c r="C50" s="3" t="s">
        <v>191</v>
      </c>
      <c r="D50" s="3" t="s">
        <v>199</v>
      </c>
      <c r="E50" s="3" t="s">
        <v>200</v>
      </c>
      <c r="F50" s="3" t="s">
        <v>194</v>
      </c>
      <c r="G50" s="3" t="s">
        <v>44</v>
      </c>
      <c r="H50" s="3"/>
    </row>
    <row r="51" customFormat="false" ht="23.85" hidden="false" customHeight="false" outlineLevel="0" collapsed="false">
      <c r="A51" s="2" t="s">
        <v>201</v>
      </c>
      <c r="B51" s="3" t="s">
        <v>190</v>
      </c>
      <c r="C51" s="3" t="s">
        <v>191</v>
      </c>
      <c r="D51" s="3" t="s">
        <v>202</v>
      </c>
      <c r="E51" s="3" t="s">
        <v>203</v>
      </c>
      <c r="F51" s="3" t="s">
        <v>194</v>
      </c>
      <c r="G51" s="3" t="s">
        <v>204</v>
      </c>
      <c r="H51" s="3"/>
    </row>
    <row r="52" customFormat="false" ht="46.25" hidden="false" customHeight="false" outlineLevel="0" collapsed="false">
      <c r="A52" s="2" t="s">
        <v>205</v>
      </c>
      <c r="B52" s="3" t="s">
        <v>190</v>
      </c>
      <c r="C52" s="3" t="s">
        <v>191</v>
      </c>
      <c r="D52" s="3" t="s">
        <v>206</v>
      </c>
      <c r="E52" s="3" t="s">
        <v>207</v>
      </c>
      <c r="F52" s="3" t="s">
        <v>208</v>
      </c>
      <c r="G52" s="3" t="s">
        <v>209</v>
      </c>
      <c r="H52" s="3"/>
    </row>
    <row r="53" customFormat="false" ht="23.85" hidden="false" customHeight="false" outlineLevel="0" collapsed="false">
      <c r="A53" s="2" t="s">
        <v>210</v>
      </c>
      <c r="B53" s="3" t="s">
        <v>190</v>
      </c>
      <c r="C53" s="3" t="s">
        <v>191</v>
      </c>
      <c r="D53" s="3" t="s">
        <v>211</v>
      </c>
      <c r="E53" s="3" t="s">
        <v>212</v>
      </c>
      <c r="F53" s="3" t="s">
        <v>213</v>
      </c>
      <c r="G53" s="3" t="s">
        <v>214</v>
      </c>
      <c r="H53" s="3"/>
    </row>
    <row r="54" customFormat="false" ht="23.85" hidden="false" customHeight="false" outlineLevel="0" collapsed="false">
      <c r="A54" s="2" t="s">
        <v>215</v>
      </c>
      <c r="B54" s="3" t="s">
        <v>190</v>
      </c>
      <c r="C54" s="3" t="s">
        <v>191</v>
      </c>
      <c r="D54" s="3" t="s">
        <v>216</v>
      </c>
      <c r="E54" s="3" t="s">
        <v>217</v>
      </c>
      <c r="F54" s="3" t="s">
        <v>133</v>
      </c>
      <c r="G54" s="3" t="s">
        <v>188</v>
      </c>
      <c r="H54" s="3"/>
    </row>
    <row r="55" customFormat="false" ht="46.25" hidden="false" customHeight="false" outlineLevel="0" collapsed="false">
      <c r="A55" s="2" t="s">
        <v>218</v>
      </c>
      <c r="B55" s="3" t="s">
        <v>219</v>
      </c>
      <c r="C55" s="3"/>
      <c r="D55" s="3" t="s">
        <v>220</v>
      </c>
      <c r="E55" s="3" t="s">
        <v>221</v>
      </c>
      <c r="F55" s="3" t="s">
        <v>222</v>
      </c>
      <c r="G55" s="3" t="s">
        <v>223</v>
      </c>
      <c r="H55" s="3"/>
    </row>
    <row r="56" customFormat="false" ht="15" hidden="false" customHeight="false" outlineLevel="0" collapsed="false">
      <c r="A56" s="2" t="s">
        <v>224</v>
      </c>
      <c r="B56" s="3" t="s">
        <v>219</v>
      </c>
      <c r="C56" s="3"/>
      <c r="D56" s="3" t="s">
        <v>225</v>
      </c>
      <c r="E56" s="3" t="s">
        <v>226</v>
      </c>
      <c r="F56" s="3" t="s">
        <v>222</v>
      </c>
      <c r="G56" s="3" t="s">
        <v>227</v>
      </c>
      <c r="H56" s="3"/>
    </row>
    <row r="57" customFormat="false" ht="23.85" hidden="false" customHeight="false" outlineLevel="0" collapsed="false">
      <c r="A57" s="2" t="s">
        <v>228</v>
      </c>
      <c r="B57" s="3" t="s">
        <v>219</v>
      </c>
      <c r="C57" s="3"/>
      <c r="D57" s="3" t="s">
        <v>174</v>
      </c>
      <c r="E57" s="3" t="s">
        <v>229</v>
      </c>
      <c r="F57" s="3" t="s">
        <v>222</v>
      </c>
      <c r="G57" s="3" t="s">
        <v>230</v>
      </c>
      <c r="H57" s="4" t="s">
        <v>76</v>
      </c>
    </row>
  </sheetData>
  <autoFilter ref="A1:H5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44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8" min="6" style="0" width="16"/>
    <col collapsed="false" customWidth="true" hidden="false" outlineLevel="0" max="10" min="9" style="0" width="12"/>
    <col collapsed="false" customWidth="true" hidden="false" outlineLevel="0" max="11" min="11" style="0" width="14"/>
  </cols>
  <sheetData>
    <row r="1" customFormat="false" ht="42" hidden="false" customHeight="true" outlineLevel="0" collapsed="false">
      <c r="A1" s="1" t="s">
        <v>0</v>
      </c>
      <c r="B1" s="1" t="s">
        <v>231</v>
      </c>
      <c r="C1" s="1" t="s">
        <v>232</v>
      </c>
      <c r="D1" s="1" t="s">
        <v>233</v>
      </c>
      <c r="E1" s="1" t="s">
        <v>234</v>
      </c>
      <c r="F1" s="1" t="s">
        <v>235</v>
      </c>
      <c r="G1" s="1" t="s">
        <v>236</v>
      </c>
      <c r="H1" s="1" t="s">
        <v>237</v>
      </c>
      <c r="I1" s="1" t="s">
        <v>238</v>
      </c>
      <c r="J1" s="1" t="s">
        <v>239</v>
      </c>
      <c r="K1" s="1" t="s">
        <v>7</v>
      </c>
    </row>
    <row r="2" customFormat="false" ht="15" hidden="false" customHeight="false" outlineLevel="0" collapsed="false">
      <c r="A2" s="5" t="s">
        <v>88</v>
      </c>
      <c r="B2" s="5" t="s">
        <v>240</v>
      </c>
      <c r="C2" s="3" t="s">
        <v>241</v>
      </c>
      <c r="D2" s="6" t="n">
        <v>47</v>
      </c>
      <c r="E2" s="6" t="n">
        <f aca="false">D2*5</f>
        <v>235</v>
      </c>
      <c r="F2" s="7" t="n">
        <v>0.9404</v>
      </c>
      <c r="G2" s="7" t="n">
        <v>0.0087</v>
      </c>
      <c r="H2" s="6" t="n">
        <f aca="false">D2</f>
        <v>47</v>
      </c>
      <c r="I2" s="7" t="n">
        <v>0.9787</v>
      </c>
      <c r="J2" s="7" t="n">
        <v>0.0056</v>
      </c>
      <c r="K2" s="5"/>
    </row>
    <row r="3" customFormat="false" ht="15" hidden="false" customHeight="false" outlineLevel="0" collapsed="false">
      <c r="A3" s="5" t="s">
        <v>94</v>
      </c>
      <c r="B3" s="5" t="s">
        <v>240</v>
      </c>
      <c r="C3" s="3" t="s">
        <v>242</v>
      </c>
      <c r="D3" s="6" t="n">
        <v>31</v>
      </c>
      <c r="E3" s="6" t="n">
        <f aca="false">D3*5</f>
        <v>155</v>
      </c>
      <c r="F3" s="7" t="n">
        <v>0.8581</v>
      </c>
      <c r="G3" s="7" t="n">
        <v>0.0068</v>
      </c>
      <c r="H3" s="6" t="n">
        <f aca="false">D3</f>
        <v>31</v>
      </c>
      <c r="I3" s="7" t="n">
        <v>0.871</v>
      </c>
      <c r="J3" s="7" t="n">
        <v>0.002</v>
      </c>
      <c r="K3" s="5"/>
    </row>
    <row r="4" customFormat="false" ht="15" hidden="false" customHeight="false" outlineLevel="0" collapsed="false">
      <c r="A4" s="5" t="s">
        <v>97</v>
      </c>
      <c r="B4" s="5" t="s">
        <v>240</v>
      </c>
      <c r="C4" s="3" t="s">
        <v>243</v>
      </c>
      <c r="D4" s="6" t="n">
        <v>5</v>
      </c>
      <c r="E4" s="6" t="n">
        <f aca="false">D4*5</f>
        <v>25</v>
      </c>
      <c r="F4" s="7" t="n">
        <v>0.8</v>
      </c>
      <c r="G4" s="7" t="n">
        <v>0.0047</v>
      </c>
      <c r="H4" s="6" t="n">
        <f aca="false">D4</f>
        <v>5</v>
      </c>
      <c r="I4" s="7" t="n">
        <v>0.8</v>
      </c>
      <c r="J4" s="7" t="n">
        <v>0.0047</v>
      </c>
      <c r="K4" s="8" t="s">
        <v>76</v>
      </c>
    </row>
    <row r="5" customFormat="false" ht="15" hidden="false" customHeight="false" outlineLevel="0" collapsed="false">
      <c r="A5" s="5" t="s">
        <v>100</v>
      </c>
      <c r="B5" s="5" t="s">
        <v>240</v>
      </c>
      <c r="C5" s="3" t="s">
        <v>244</v>
      </c>
      <c r="D5" s="6" t="n">
        <v>28</v>
      </c>
      <c r="E5" s="6" t="n">
        <f aca="false">D5*5</f>
        <v>140</v>
      </c>
      <c r="F5" s="7" t="n">
        <v>0.7786</v>
      </c>
      <c r="G5" s="7" t="n">
        <v>0.0264</v>
      </c>
      <c r="H5" s="6" t="n">
        <f aca="false">D5</f>
        <v>28</v>
      </c>
      <c r="I5" s="7" t="n">
        <v>0.7857</v>
      </c>
      <c r="J5" s="7" t="n">
        <v>0.028</v>
      </c>
      <c r="K5" s="5"/>
    </row>
    <row r="6" customFormat="false" ht="15" hidden="false" customHeight="false" outlineLevel="0" collapsed="false">
      <c r="A6" s="5" t="s">
        <v>103</v>
      </c>
      <c r="B6" s="5" t="s">
        <v>240</v>
      </c>
      <c r="C6" s="3" t="s">
        <v>245</v>
      </c>
      <c r="D6" s="6" t="n">
        <v>7</v>
      </c>
      <c r="E6" s="6" t="n">
        <f aca="false">D6*5</f>
        <v>35</v>
      </c>
      <c r="F6" s="7" t="n">
        <v>0.6571</v>
      </c>
      <c r="G6" s="7" t="n">
        <v>0.0107</v>
      </c>
      <c r="H6" s="6" t="n">
        <f aca="false">D6</f>
        <v>7</v>
      </c>
      <c r="I6" s="7" t="n">
        <v>0.7143</v>
      </c>
      <c r="J6" s="7" t="n">
        <v>0.0034</v>
      </c>
      <c r="K6" s="8" t="s">
        <v>76</v>
      </c>
    </row>
    <row r="7" customFormat="false" ht="15" hidden="false" customHeight="false" outlineLevel="0" collapsed="false">
      <c r="A7" s="5" t="s">
        <v>106</v>
      </c>
      <c r="B7" s="5" t="s">
        <v>246</v>
      </c>
      <c r="C7" s="3" t="s">
        <v>247</v>
      </c>
      <c r="D7" s="6" t="n">
        <v>26</v>
      </c>
      <c r="E7" s="6" t="n">
        <f aca="false">D7*5</f>
        <v>130</v>
      </c>
      <c r="F7" s="7" t="n">
        <v>0.9615</v>
      </c>
      <c r="G7" s="7" t="n">
        <v>0.0005</v>
      </c>
      <c r="H7" s="6" t="n">
        <f aca="false">D7</f>
        <v>26</v>
      </c>
      <c r="I7" s="7" t="n">
        <v>0.9615</v>
      </c>
      <c r="J7" s="7" t="n">
        <v>0.0005</v>
      </c>
      <c r="K7" s="5"/>
    </row>
    <row r="8" customFormat="false" ht="15" hidden="false" customHeight="false" outlineLevel="0" collapsed="false">
      <c r="A8" s="5" t="s">
        <v>109</v>
      </c>
      <c r="B8" s="5" t="s">
        <v>246</v>
      </c>
      <c r="C8" s="3" t="s">
        <v>248</v>
      </c>
      <c r="D8" s="6" t="n">
        <v>40</v>
      </c>
      <c r="E8" s="6" t="n">
        <f aca="false">D8*5</f>
        <v>200</v>
      </c>
      <c r="F8" s="7" t="n">
        <v>0.9</v>
      </c>
      <c r="G8" s="7" t="n">
        <v>0.0082</v>
      </c>
      <c r="H8" s="6" t="n">
        <f aca="false">D8</f>
        <v>40</v>
      </c>
      <c r="I8" s="7" t="n">
        <v>0.925</v>
      </c>
      <c r="J8" s="7" t="n">
        <v>0.0091</v>
      </c>
      <c r="K8" s="5"/>
    </row>
    <row r="9" customFormat="false" ht="15" hidden="false" customHeight="false" outlineLevel="0" collapsed="false">
      <c r="A9" s="5" t="s">
        <v>112</v>
      </c>
      <c r="B9" s="5" t="s">
        <v>246</v>
      </c>
      <c r="C9" s="3" t="s">
        <v>249</v>
      </c>
      <c r="D9" s="6" t="n">
        <v>52</v>
      </c>
      <c r="E9" s="6" t="n">
        <f aca="false">D9*5</f>
        <v>260</v>
      </c>
      <c r="F9" s="7" t="n">
        <v>0.7731</v>
      </c>
      <c r="G9" s="7" t="n">
        <v>0.0215</v>
      </c>
      <c r="H9" s="6" t="n">
        <f aca="false">D9</f>
        <v>52</v>
      </c>
      <c r="I9" s="7" t="n">
        <v>0.8077</v>
      </c>
      <c r="J9" s="7" t="n">
        <v>0.0149</v>
      </c>
      <c r="K9" s="5"/>
    </row>
    <row r="10" customFormat="false" ht="15" hidden="false" customHeight="false" outlineLevel="0" collapsed="false">
      <c r="A10" s="5" t="s">
        <v>115</v>
      </c>
      <c r="B10" s="5" t="s">
        <v>250</v>
      </c>
      <c r="C10" s="3" t="s">
        <v>251</v>
      </c>
      <c r="D10" s="6" t="n">
        <v>60</v>
      </c>
      <c r="E10" s="6" t="n">
        <f aca="false">D10*5</f>
        <v>300</v>
      </c>
      <c r="F10" s="7" t="n">
        <v>0.8867</v>
      </c>
      <c r="G10" s="7" t="n">
        <v>0.0089</v>
      </c>
      <c r="H10" s="6" t="n">
        <f aca="false">D10</f>
        <v>60</v>
      </c>
      <c r="I10" s="7" t="n">
        <v>0.9</v>
      </c>
      <c r="J10" s="7" t="n">
        <v>0.0067</v>
      </c>
      <c r="K10" s="5"/>
    </row>
    <row r="11" customFormat="false" ht="15" hidden="false" customHeight="false" outlineLevel="0" collapsed="false">
      <c r="A11" s="5" t="s">
        <v>118</v>
      </c>
      <c r="B11" s="5" t="s">
        <v>250</v>
      </c>
      <c r="C11" s="3" t="s">
        <v>252</v>
      </c>
      <c r="D11" s="6" t="n">
        <v>32</v>
      </c>
      <c r="E11" s="6" t="n">
        <f aca="false">D11*5</f>
        <v>160</v>
      </c>
      <c r="F11" s="7" t="n">
        <v>0.85</v>
      </c>
      <c r="G11" s="7" t="n">
        <v>0.0192</v>
      </c>
      <c r="H11" s="6" t="n">
        <f aca="false">D11</f>
        <v>32</v>
      </c>
      <c r="I11" s="7" t="n">
        <v>0.9062</v>
      </c>
      <c r="J11" s="7" t="n">
        <v>0.0121</v>
      </c>
      <c r="K11" s="5"/>
    </row>
    <row r="12" customFormat="false" ht="15" hidden="false" customHeight="false" outlineLevel="0" collapsed="false">
      <c r="A12" s="5" t="s">
        <v>121</v>
      </c>
      <c r="B12" s="5" t="s">
        <v>250</v>
      </c>
      <c r="C12" s="3" t="s">
        <v>253</v>
      </c>
      <c r="D12" s="6" t="n">
        <v>26</v>
      </c>
      <c r="E12" s="6" t="n">
        <f aca="false">D12*5</f>
        <v>130</v>
      </c>
      <c r="F12" s="7" t="n">
        <v>0.8</v>
      </c>
      <c r="G12" s="7" t="n">
        <v>0.0119</v>
      </c>
      <c r="H12" s="6" t="n">
        <f aca="false">D12</f>
        <v>26</v>
      </c>
      <c r="I12" s="7" t="n">
        <v>0.8077</v>
      </c>
      <c r="J12" s="7" t="n">
        <v>0.014</v>
      </c>
      <c r="K12" s="5"/>
    </row>
    <row r="13" customFormat="false" ht="15" hidden="false" customHeight="false" outlineLevel="0" collapsed="false">
      <c r="A13" s="5" t="s">
        <v>124</v>
      </c>
      <c r="B13" s="5" t="s">
        <v>254</v>
      </c>
      <c r="C13" s="3" t="s">
        <v>255</v>
      </c>
      <c r="D13" s="6" t="n">
        <v>102</v>
      </c>
      <c r="E13" s="6" t="n">
        <f aca="false">D13*5</f>
        <v>510</v>
      </c>
      <c r="F13" s="7" t="n">
        <v>0.8922</v>
      </c>
      <c r="G13" s="7" t="n">
        <v>0.0102</v>
      </c>
      <c r="H13" s="6" t="n">
        <f aca="false">D13</f>
        <v>102</v>
      </c>
      <c r="I13" s="7" t="n">
        <v>0.902</v>
      </c>
      <c r="J13" s="7" t="n">
        <v>0.0089</v>
      </c>
      <c r="K13" s="5"/>
    </row>
    <row r="14" customFormat="false" ht="15" hidden="false" customHeight="false" outlineLevel="0" collapsed="false">
      <c r="A14" s="5" t="s">
        <v>127</v>
      </c>
      <c r="B14" s="5" t="s">
        <v>254</v>
      </c>
      <c r="C14" s="3" t="s">
        <v>256</v>
      </c>
      <c r="D14" s="6" t="n">
        <v>16</v>
      </c>
      <c r="E14" s="6" t="n">
        <f aca="false">D14*5</f>
        <v>80</v>
      </c>
      <c r="F14" s="7" t="n">
        <v>0.6375</v>
      </c>
      <c r="G14" s="7" t="n">
        <v>0.0262</v>
      </c>
      <c r="H14" s="6" t="n">
        <f aca="false">D14</f>
        <v>16</v>
      </c>
      <c r="I14" s="7" t="n">
        <v>0.75</v>
      </c>
      <c r="J14" s="7" t="n">
        <v>0.0154</v>
      </c>
      <c r="K14" s="5"/>
    </row>
    <row r="16" customFormat="false" ht="15" hidden="false" customHeight="false" outlineLevel="0" collapsed="false">
      <c r="A16" s="9" t="s">
        <v>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3" min="3" style="0" width="45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10" t="s">
        <v>258</v>
      </c>
    </row>
    <row r="2" customFormat="false" ht="15" hidden="false" customHeight="false" outlineLevel="0" collapsed="false">
      <c r="A2" s="1" t="s">
        <v>259</v>
      </c>
      <c r="B2" s="1" t="s">
        <v>260</v>
      </c>
      <c r="C2" s="1" t="s">
        <v>261</v>
      </c>
      <c r="D2" s="1" t="s">
        <v>262</v>
      </c>
    </row>
    <row r="3" customFormat="false" ht="15" hidden="false" customHeight="false" outlineLevel="0" collapsed="false">
      <c r="A3" s="3" t="s">
        <v>263</v>
      </c>
      <c r="B3" s="3" t="s">
        <v>264</v>
      </c>
      <c r="C3" s="3" t="s">
        <v>265</v>
      </c>
      <c r="D3" s="3" t="s">
        <v>266</v>
      </c>
    </row>
    <row r="4" customFormat="false" ht="15" hidden="false" customHeight="false" outlineLevel="0" collapsed="false">
      <c r="A4" s="3" t="s">
        <v>267</v>
      </c>
      <c r="B4" s="3" t="s">
        <v>268</v>
      </c>
      <c r="C4" s="3" t="s">
        <v>269</v>
      </c>
      <c r="D4" s="3" t="s">
        <v>266</v>
      </c>
    </row>
    <row r="5" customFormat="false" ht="15" hidden="false" customHeight="false" outlineLevel="0" collapsed="false">
      <c r="A5" s="3" t="s">
        <v>270</v>
      </c>
      <c r="B5" s="3" t="s">
        <v>271</v>
      </c>
      <c r="C5" s="3" t="s">
        <v>271</v>
      </c>
      <c r="D5" s="3" t="s">
        <v>266</v>
      </c>
    </row>
    <row r="6" customFormat="false" ht="15" hidden="false" customHeight="false" outlineLevel="0" collapsed="false">
      <c r="A6" s="3" t="s">
        <v>222</v>
      </c>
      <c r="B6" s="3" t="s">
        <v>272</v>
      </c>
      <c r="C6" s="3" t="s">
        <v>273</v>
      </c>
      <c r="D6" s="3" t="s">
        <v>266</v>
      </c>
    </row>
    <row r="7" customFormat="false" ht="15" hidden="false" customHeight="false" outlineLevel="0" collapsed="false">
      <c r="A7" s="3" t="s">
        <v>274</v>
      </c>
      <c r="B7" s="3" t="s">
        <v>275</v>
      </c>
      <c r="C7" s="3" t="s">
        <v>276</v>
      </c>
      <c r="D7" s="3" t="s">
        <v>266</v>
      </c>
    </row>
    <row r="8" customFormat="false" ht="15" hidden="false" customHeight="false" outlineLevel="0" collapsed="false">
      <c r="A8" s="3" t="s">
        <v>277</v>
      </c>
      <c r="B8" s="3" t="s">
        <v>278</v>
      </c>
      <c r="C8" s="3" t="s">
        <v>279</v>
      </c>
      <c r="D8" s="3" t="s">
        <v>266</v>
      </c>
    </row>
    <row r="10" customFormat="false" ht="57.75" hidden="false" customHeight="true" outlineLevel="0" collapsed="false">
      <c r="A10" s="11" t="s">
        <v>280</v>
      </c>
      <c r="B10" s="12" t="s">
        <v>281</v>
      </c>
      <c r="C10" s="12"/>
      <c r="D10" s="12"/>
    </row>
    <row r="11" customFormat="false" ht="30" hidden="false" customHeight="true" outlineLevel="0" collapsed="false">
      <c r="A11" s="11" t="s">
        <v>282</v>
      </c>
      <c r="B11" s="12" t="s">
        <v>283</v>
      </c>
      <c r="C11" s="12"/>
      <c r="D11" s="12"/>
    </row>
    <row r="13" customFormat="false" ht="15" hidden="false" customHeight="false" outlineLevel="0" collapsed="false">
      <c r="A13" s="10" t="s">
        <v>284</v>
      </c>
    </row>
    <row r="14" customFormat="false" ht="15" hidden="false" customHeight="true" outlineLevel="0" collapsed="false">
      <c r="A14" s="1" t="s">
        <v>0</v>
      </c>
      <c r="B14" s="1" t="s">
        <v>86</v>
      </c>
      <c r="C14" s="1"/>
      <c r="D14" s="1"/>
    </row>
    <row r="15" customFormat="false" ht="75" hidden="false" customHeight="true" outlineLevel="0" collapsed="false">
      <c r="A15" s="11" t="s">
        <v>285</v>
      </c>
      <c r="B15" s="12" t="s">
        <v>286</v>
      </c>
      <c r="C15" s="12"/>
      <c r="D15" s="12"/>
    </row>
    <row r="16" customFormat="false" ht="75" hidden="false" customHeight="true" outlineLevel="0" collapsed="false">
      <c r="A16" s="11" t="s">
        <v>287</v>
      </c>
      <c r="B16" s="12" t="s">
        <v>288</v>
      </c>
      <c r="C16" s="12"/>
      <c r="D16" s="12"/>
    </row>
    <row r="17" customFormat="false" ht="75" hidden="false" customHeight="true" outlineLevel="0" collapsed="false">
      <c r="A17" s="11" t="s">
        <v>289</v>
      </c>
      <c r="B17" s="12" t="s">
        <v>290</v>
      </c>
      <c r="C17" s="12"/>
      <c r="D17" s="12"/>
    </row>
    <row r="19" customFormat="false" ht="15" hidden="false" customHeight="false" outlineLevel="0" collapsed="false">
      <c r="A19" s="10" t="s">
        <v>291</v>
      </c>
    </row>
    <row r="20" customFormat="false" ht="15" hidden="false" customHeight="true" outlineLevel="0" collapsed="false">
      <c r="A20" s="1" t="s">
        <v>1</v>
      </c>
      <c r="B20" s="1" t="s">
        <v>292</v>
      </c>
      <c r="C20" s="1" t="s">
        <v>293</v>
      </c>
      <c r="D20" s="1"/>
    </row>
    <row r="21" customFormat="false" ht="48" hidden="false" customHeight="true" outlineLevel="0" collapsed="false">
      <c r="A21" s="3" t="s">
        <v>9</v>
      </c>
      <c r="B21" s="3" t="s">
        <v>294</v>
      </c>
      <c r="C21" s="3"/>
      <c r="D21" s="3"/>
    </row>
    <row r="22" customFormat="false" ht="48" hidden="false" customHeight="true" outlineLevel="0" collapsed="false">
      <c r="A22" s="3" t="s">
        <v>46</v>
      </c>
      <c r="B22" s="3" t="s">
        <v>295</v>
      </c>
      <c r="C22" s="3" t="s">
        <v>296</v>
      </c>
      <c r="D22" s="3"/>
    </row>
    <row r="23" customFormat="false" ht="48" hidden="false" customHeight="true" outlineLevel="0" collapsed="false">
      <c r="A23" s="3" t="s">
        <v>68</v>
      </c>
      <c r="B23" s="3"/>
      <c r="C23" s="3" t="s">
        <v>297</v>
      </c>
      <c r="D23" s="3"/>
    </row>
    <row r="24" customFormat="false" ht="48" hidden="false" customHeight="true" outlineLevel="0" collapsed="false">
      <c r="A24" s="3" t="s">
        <v>89</v>
      </c>
      <c r="B24" s="3"/>
      <c r="C24" s="3" t="s">
        <v>298</v>
      </c>
      <c r="D24" s="3"/>
    </row>
    <row r="25" customFormat="false" ht="48" hidden="false" customHeight="true" outlineLevel="0" collapsed="false">
      <c r="A25" s="3" t="s">
        <v>145</v>
      </c>
      <c r="B25" s="3" t="s">
        <v>299</v>
      </c>
      <c r="C25" s="3" t="s">
        <v>300</v>
      </c>
      <c r="D25" s="3"/>
    </row>
    <row r="26" customFormat="false" ht="48" hidden="false" customHeight="true" outlineLevel="0" collapsed="false">
      <c r="A26" s="3" t="s">
        <v>164</v>
      </c>
      <c r="B26" s="3" t="s">
        <v>301</v>
      </c>
      <c r="C26" s="3" t="s">
        <v>302</v>
      </c>
      <c r="D26" s="3"/>
    </row>
    <row r="27" customFormat="false" ht="48" hidden="false" customHeight="true" outlineLevel="0" collapsed="false">
      <c r="A27" s="3" t="s">
        <v>190</v>
      </c>
      <c r="B27" s="3" t="s">
        <v>303</v>
      </c>
      <c r="C27" s="3" t="s">
        <v>304</v>
      </c>
      <c r="D27" s="3"/>
    </row>
    <row r="28" customFormat="false" ht="48" hidden="false" customHeight="true" outlineLevel="0" collapsed="false">
      <c r="A28" s="3" t="s">
        <v>219</v>
      </c>
      <c r="B28" s="3" t="s">
        <v>305</v>
      </c>
      <c r="C28" s="3" t="s">
        <v>306</v>
      </c>
      <c r="D28" s="3"/>
    </row>
  </sheetData>
  <mergeCells count="15">
    <mergeCell ref="B10:D10"/>
    <mergeCell ref="B11:D11"/>
    <mergeCell ref="B14:D14"/>
    <mergeCell ref="B15:D15"/>
    <mergeCell ref="B16:D16"/>
    <mergeCell ref="B17:D17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2026-10-13T06:43:20Z</dcterms:created>
  <dc:creator>openpyxl</dc:creator>
  <dc:description/>
  <dc:language>en-US</dc:language>
  <cp:lastModifiedBy/>
  <dcterms:modified xsi:type="dcterms:W3CDTF">2026-10-13T06:43:20Z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